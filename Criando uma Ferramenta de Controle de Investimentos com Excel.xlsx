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EMOUR\Downloads\"/>
    </mc:Choice>
  </mc:AlternateContent>
  <xr:revisionPtr revIDLastSave="0" documentId="13_ncr:1_{F867BE95-6305-4FBB-9C4E-CEBFEBA71460}" xr6:coauthVersionLast="47" xr6:coauthVersionMax="47" xr10:uidLastSave="{00000000-0000-0000-0000-000000000000}"/>
  <bookViews>
    <workbookView xWindow="-110" yWindow="-110" windowWidth="19420" windowHeight="1030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<sst xmlns="http://schemas.openxmlformats.org/spreadsheetml/2006/main" count="71" uniqueCount="34">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</sst>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2" fillId="2" borderId="0" xfId="3"/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5" fillId="8" borderId="1" xfId="0" applyFont="1" applyFill="1" applyBorder="1" applyAlignment="1">
      <alignment horizontal="right" vertical="center"/>
    </xf>
    <xf numFmtId="0" fontId="6" fillId="8" borderId="3" xfId="0" applyFont="1" applyFill="1" applyBorder="1" applyAlignment="1">
      <alignment horizontal="right"/>
    </xf>
    <xf numFmtId="0" fontId="5" fillId="8" borderId="2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" fillId="11" borderId="0" xfId="3" applyFill="1"/>
    <xf numFmtId="0" fontId="13" fillId="11" borderId="0" xfId="3" applyFont="1" applyFill="1"/>
    <xf numFmtId="0" fontId="13" fillId="11" borderId="0" xfId="3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71-4036-A9C8-CF9B11F1AE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71-4036-A9C8-CF9B11F1AE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71-4036-A9C8-CF9B11F1AE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71-4036-A9C8-CF9B11F1AE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71-4036-A9C8-CF9B11F1AE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71-4036-A9C8-CF9B11F1AE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115289</xdr:rowOff>
    </xdr:from>
    <xdr:to>
      <xdr:col>3</xdr:col>
      <xdr:colOff>892175</xdr:colOff>
      <xdr:row>55</xdr:row>
      <xdr:rowOff>53150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456047</xdr:colOff>
      <xdr:row>0</xdr:row>
      <xdr:rowOff>184726</xdr:rowOff>
    </xdr:from>
    <xdr:to>
      <xdr:col>3</xdr:col>
      <xdr:colOff>773545</xdr:colOff>
      <xdr:row>8</xdr:row>
      <xdr:rowOff>56283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6578A07-0877-B947-DAF4-DE9CB28D2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8858" b="36131"/>
        <a:stretch>
          <a:fillRect/>
        </a:stretch>
      </xdr:blipFill>
      <xdr:spPr>
        <a:xfrm>
          <a:off x="837047" y="184726"/>
          <a:ext cx="4808680" cy="1349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A4" activeCellId="3" sqref="A1:XFD1 A2:XFD2 A3:XFD3 A4:XFD4"/>
    </sheetView>
  </sheetViews>
  <sheetFormatPr defaultColWidth="0" defaultRowHeight="14.5" x14ac:dyDescent="0.35"/>
  <cols>
    <col min="1" max="1" width="5.453125" customWidth="1"/>
    <col min="2" max="2" width="46.81640625" customWidth="1"/>
    <col min="3" max="3" width="17.453125" bestFit="1" customWidth="1"/>
    <col min="4" max="4" width="15" customWidth="1"/>
    <col min="5" max="8" width="3.54296875" customWidth="1"/>
    <col min="9" max="16384" width="8.7265625" hidden="1"/>
  </cols>
  <sheetData>
    <row r="10" spans="2:4" ht="15" thickBot="1" x14ac:dyDescent="0.4"/>
    <row r="11" spans="2:4" ht="26" x14ac:dyDescent="0.45">
      <c r="B11" s="48" t="s">
        <v>15</v>
      </c>
      <c r="C11" s="49"/>
      <c r="D11" s="50"/>
    </row>
    <row r="12" spans="2:4" ht="17.5" x14ac:dyDescent="0.45">
      <c r="B12" s="38" t="s">
        <v>14</v>
      </c>
      <c r="C12" s="39"/>
      <c r="D12" s="19">
        <v>2100</v>
      </c>
    </row>
    <row r="13" spans="2:4" ht="17.5" x14ac:dyDescent="0.45">
      <c r="B13" s="40" t="s">
        <v>13</v>
      </c>
      <c r="C13" s="41"/>
      <c r="D13" s="20">
        <v>0.5</v>
      </c>
    </row>
    <row r="14" spans="2:4" ht="18" thickBot="1" x14ac:dyDescent="0.5">
      <c r="B14" s="44" t="s">
        <v>33</v>
      </c>
      <c r="C14" s="45"/>
      <c r="D14" s="21">
        <f>D12*30%</f>
        <v>630</v>
      </c>
    </row>
    <row r="15" spans="2:4" ht="15" thickBot="1" x14ac:dyDescent="0.4"/>
    <row r="16" spans="2:4" ht="28.5" customHeight="1" x14ac:dyDescent="0.35">
      <c r="B16" s="51" t="s">
        <v>5</v>
      </c>
      <c r="C16" s="52"/>
      <c r="D16" s="53"/>
    </row>
    <row r="17" spans="1:6" ht="17.5" x14ac:dyDescent="0.45">
      <c r="B17" s="38" t="s">
        <v>0</v>
      </c>
      <c r="C17" s="39"/>
      <c r="D17" s="14">
        <v>100</v>
      </c>
    </row>
    <row r="18" spans="1:6" ht="17.5" x14ac:dyDescent="0.45">
      <c r="B18" s="40" t="s">
        <v>1</v>
      </c>
      <c r="C18" s="41"/>
      <c r="D18" s="15">
        <v>5</v>
      </c>
    </row>
    <row r="19" spans="1:6" ht="17.5" x14ac:dyDescent="0.45">
      <c r="B19" s="40" t="s">
        <v>2</v>
      </c>
      <c r="C19" s="41"/>
      <c r="D19" s="16">
        <v>1.2999999999999999E-2</v>
      </c>
    </row>
    <row r="20" spans="1:6" ht="17.5" x14ac:dyDescent="0.45">
      <c r="B20" s="46" t="s">
        <v>3</v>
      </c>
      <c r="C20" s="47"/>
      <c r="D20" s="17">
        <f>FV(taxa_mensal,qtd_anos*12,aporte*-1)</f>
        <v>9004.112630516096</v>
      </c>
    </row>
    <row r="21" spans="1:6" ht="18" thickBot="1" x14ac:dyDescent="0.5">
      <c r="B21" s="42" t="s">
        <v>4</v>
      </c>
      <c r="C21" s="43"/>
      <c r="D21" s="18">
        <f>patrimonio*rendimento_carteira</f>
        <v>4502.056315258048</v>
      </c>
      <c r="F21" s="3"/>
    </row>
    <row r="22" spans="1:6" ht="15" thickBot="1" x14ac:dyDescent="0.4"/>
    <row r="23" spans="1:6" ht="29" x14ac:dyDescent="0.35">
      <c r="B23" s="54" t="s">
        <v>11</v>
      </c>
      <c r="C23" s="55"/>
      <c r="D23" s="56" t="s">
        <v>12</v>
      </c>
    </row>
    <row r="24" spans="1:6" ht="17.5" x14ac:dyDescent="0.45">
      <c r="A24" s="1">
        <v>2</v>
      </c>
      <c r="B24" s="5" t="s">
        <v>6</v>
      </c>
      <c r="C24" s="6">
        <f>FV($D$19,$A24*12,$D$17*-1)</f>
        <v>2795.4666971111878</v>
      </c>
      <c r="D24" s="7">
        <f>C24*rendimento_carteira</f>
        <v>1397.7333485555939</v>
      </c>
    </row>
    <row r="25" spans="1:6" ht="17.5" x14ac:dyDescent="0.45">
      <c r="A25" s="1">
        <v>5</v>
      </c>
      <c r="B25" s="8" t="s">
        <v>7</v>
      </c>
      <c r="C25" s="9">
        <f>FV($D$19,$A25*12,$D$17*-1)</f>
        <v>9004.112630516096</v>
      </c>
      <c r="D25" s="10">
        <f>C25*rendimento_carteira</f>
        <v>4502.056315258048</v>
      </c>
    </row>
    <row r="26" spans="1:6" ht="17.5" x14ac:dyDescent="0.45">
      <c r="A26" s="1">
        <v>10</v>
      </c>
      <c r="B26" s="8" t="s">
        <v>8</v>
      </c>
      <c r="C26" s="9">
        <f>FV($D$19,$A26*12,$D$17*-1)</f>
        <v>28547.851015224711</v>
      </c>
      <c r="D26" s="10">
        <f>C26*rendimento_carteira</f>
        <v>14273.925507612355</v>
      </c>
    </row>
    <row r="27" spans="1:6" ht="17.5" x14ac:dyDescent="0.45">
      <c r="A27" s="1">
        <v>20</v>
      </c>
      <c r="B27" s="8" t="s">
        <v>9</v>
      </c>
      <c r="C27" s="9">
        <f>FV($D$19,$A27*12,$D$17*-1)</f>
        <v>163043.07571682008</v>
      </c>
      <c r="D27" s="10">
        <f>C27*rendimento_carteira</f>
        <v>81521.53785841004</v>
      </c>
    </row>
    <row r="28" spans="1:6" ht="18" thickBot="1" x14ac:dyDescent="0.5">
      <c r="A28" s="1">
        <v>30</v>
      </c>
      <c r="B28" s="11" t="s">
        <v>10</v>
      </c>
      <c r="C28" s="12">
        <f>FV($D$19,$A28*12,$D$17*-1)</f>
        <v>796679.75323365617</v>
      </c>
      <c r="D28" s="13">
        <f>C28*rendimento_carteira</f>
        <v>398339.87661682809</v>
      </c>
    </row>
    <row r="32" spans="1:6" x14ac:dyDescent="0.35">
      <c r="B32" s="58" t="s">
        <v>20</v>
      </c>
      <c r="C32" s="59" t="s">
        <v>17</v>
      </c>
      <c r="D32" s="57"/>
    </row>
    <row r="33" spans="2:4" x14ac:dyDescent="0.35">
      <c r="B33" s="23" t="s">
        <v>19</v>
      </c>
      <c r="C33" s="24">
        <f>aporte</f>
        <v>100</v>
      </c>
      <c r="D33" s="23"/>
    </row>
    <row r="35" spans="2:4" x14ac:dyDescent="0.35">
      <c r="B35" s="25" t="s">
        <v>21</v>
      </c>
      <c r="C35" s="25" t="s">
        <v>22</v>
      </c>
      <c r="D35" s="25" t="s">
        <v>23</v>
      </c>
    </row>
    <row r="36" spans="2:4" x14ac:dyDescent="0.35">
      <c r="B36" s="2" t="s">
        <v>24</v>
      </c>
      <c r="C36" s="4">
        <f>VLOOKUP($C$32&amp;"-"&amp;B36,Planilha2!$A:$D,4,FALSE)</f>
        <v>0.32</v>
      </c>
      <c r="D36" s="28">
        <f>C36*$C$33</f>
        <v>32</v>
      </c>
    </row>
    <row r="37" spans="2:4" x14ac:dyDescent="0.35">
      <c r="B37" s="2" t="s">
        <v>25</v>
      </c>
      <c r="C37" s="4">
        <f>VLOOKUP($C$32&amp;"-"&amp;B37,Planilha2!$A:$D,4,FALSE)</f>
        <v>0.35</v>
      </c>
      <c r="D37" s="28">
        <f t="shared" ref="D37:D41" si="0">C37*$C$33</f>
        <v>35</v>
      </c>
    </row>
    <row r="38" spans="2:4" x14ac:dyDescent="0.35">
      <c r="B38" s="2" t="s">
        <v>26</v>
      </c>
      <c r="C38" s="4">
        <f>VLOOKUP($C$32&amp;"-"&amp;B38,Planilha2!$A:$D,4,FALSE)</f>
        <v>0.08</v>
      </c>
      <c r="D38" s="28">
        <f t="shared" si="0"/>
        <v>8</v>
      </c>
    </row>
    <row r="39" spans="2:4" x14ac:dyDescent="0.35">
      <c r="B39" s="2" t="s">
        <v>27</v>
      </c>
      <c r="C39" s="4">
        <f>VLOOKUP($C$32&amp;"-"&amp;B39,Planilha2!$A:$D,4,FALSE)</f>
        <v>0.05</v>
      </c>
      <c r="D39" s="28">
        <f t="shared" si="0"/>
        <v>5</v>
      </c>
    </row>
    <row r="40" spans="2:4" x14ac:dyDescent="0.35">
      <c r="B40" s="2" t="s">
        <v>28</v>
      </c>
      <c r="C40" s="4">
        <f>VLOOKUP($C$32&amp;"-"&amp;B40,Planilha2!$A:$D,4,FALSE)</f>
        <v>0.1</v>
      </c>
      <c r="D40" s="28">
        <f t="shared" si="0"/>
        <v>10</v>
      </c>
    </row>
    <row r="41" spans="2:4" x14ac:dyDescent="0.35">
      <c r="B41" s="2" t="s">
        <v>29</v>
      </c>
      <c r="C41" s="4">
        <f>VLOOKUP($C$32&amp;"-"&amp;B41,Planilha2!$A:$D,4,FALSE)</f>
        <v>0.1</v>
      </c>
      <c r="D41" s="28">
        <f t="shared" si="0"/>
        <v>10</v>
      </c>
    </row>
    <row r="42" spans="2:4" x14ac:dyDescent="0.35">
      <c r="B42" s="26"/>
      <c r="C42" s="26"/>
      <c r="D42" s="27">
        <f>SUM(D36:D41)</f>
        <v>100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5" x14ac:dyDescent="0.35"/>
  <cols>
    <col min="1" max="1" width="29.1796875" bestFit="1" customWidth="1"/>
    <col min="2" max="2" width="11.54296875" bestFit="1" customWidth="1"/>
    <col min="3" max="3" width="17.7265625" bestFit="1" customWidth="1"/>
    <col min="7" max="7" width="15.36328125" bestFit="1" customWidth="1"/>
  </cols>
  <sheetData>
    <row r="2" spans="1:8" x14ac:dyDescent="0.35">
      <c r="A2" s="36" t="s">
        <v>31</v>
      </c>
      <c r="B2" s="36" t="s">
        <v>20</v>
      </c>
      <c r="C2" s="37" t="s">
        <v>21</v>
      </c>
      <c r="D2" s="37" t="s">
        <v>30</v>
      </c>
    </row>
    <row r="3" spans="1:8" x14ac:dyDescent="0.3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3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2" t="s">
        <v>32</v>
      </c>
      <c r="H4" s="35">
        <f>VLOOKUP(G4,$A:$D,4,FALSE)</f>
        <v>0.35</v>
      </c>
    </row>
    <row r="5" spans="1:8" x14ac:dyDescent="0.3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3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3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 x14ac:dyDescent="0.4">
      <c r="A8" s="29" t="str">
        <f t="shared" si="0"/>
        <v>Conservador-HOTELARIAS</v>
      </c>
      <c r="B8" s="29" t="s">
        <v>16</v>
      </c>
      <c r="C8" s="30" t="s">
        <v>29</v>
      </c>
      <c r="D8" s="31">
        <v>0</v>
      </c>
    </row>
    <row r="9" spans="1:8" x14ac:dyDescent="0.3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35">
      <c r="A10" s="32" t="str">
        <f t="shared" si="0"/>
        <v>Moderado-TIJOLO</v>
      </c>
      <c r="B10" s="32" t="s">
        <v>17</v>
      </c>
      <c r="C10" s="33" t="s">
        <v>25</v>
      </c>
      <c r="D10" s="34">
        <v>0.35</v>
      </c>
    </row>
    <row r="11" spans="1:8" x14ac:dyDescent="0.3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3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3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 x14ac:dyDescent="0.4">
      <c r="A14" s="29" t="str">
        <f t="shared" si="0"/>
        <v>Moderado-HOTELARIAS</v>
      </c>
      <c r="B14" s="29" t="s">
        <v>17</v>
      </c>
      <c r="C14" s="30" t="s">
        <v>29</v>
      </c>
      <c r="D14" s="31">
        <v>0.1</v>
      </c>
    </row>
    <row r="15" spans="1:8" x14ac:dyDescent="0.3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3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3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3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3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3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3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MARIANE SANTANA DE MOURA</cp:lastModifiedBy>
  <dcterms:created xsi:type="dcterms:W3CDTF">2025-04-16T18:38:03Z</dcterms:created>
  <dcterms:modified xsi:type="dcterms:W3CDTF">2026-09-28T17:14:51Z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